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Explorer" sheetId="1" state="visible" r:id="rId3"/>
    <sheet name="Scenario 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<sst xmlns="http://schemas.openxmlformats.org/spreadsheetml/2006/main" count="108" uniqueCount="98">
  <si>
    <t xml:space="preserve">Fastly Image Optimizer — Monthly Cost Explorer</t>
  </si>
  <si>
    <t xml:space="preserve">Blue cells = inputs (change these).  Black cells = calculated.  Source: Fastly public pricing, mid-2026.</t>
  </si>
  <si>
    <t xml:space="preserve">TRAFFIC &amp; IMAGE ASSUMPTIONS</t>
  </si>
  <si>
    <t xml:space="preserve">Parameter</t>
  </si>
  <si>
    <t xml:space="preserve">Input</t>
  </si>
  <si>
    <t xml:space="preserve">Unit</t>
  </si>
  <si>
    <t xml:space="preserve">Notes</t>
  </si>
  <si>
    <t xml:space="preserve">Monthly page views</t>
  </si>
  <si>
    <t xml:space="preserve">views/month</t>
  </si>
  <si>
    <t xml:space="preserve">Total unique page loads per month</t>
  </si>
  <si>
    <t xml:space="preserve">Images per page</t>
  </si>
  <si>
    <t xml:space="preserve">images</t>
  </si>
  <si>
    <t xml:space="preserve">Average number of image requests per page</t>
  </si>
  <si>
    <t xml:space="preserve">Device breakpoints</t>
  </si>
  <si>
    <t xml:space="preserve">variants</t>
  </si>
  <si>
    <t xml:space="preserve">Responsive sizes served (e.g. mobile, tablet, desktop)</t>
  </si>
  <si>
    <t xml:space="preserve">Avg. original image size</t>
  </si>
  <si>
    <t xml:space="preserve">KB</t>
  </si>
  <si>
    <t xml:space="preserve">Size of unoptimised source image</t>
  </si>
  <si>
    <t xml:space="preserve">Cache hit ratio</t>
  </si>
  <si>
    <t xml:space="preserve">%</t>
  </si>
  <si>
    <t xml:space="preserve">Fraction of requests served from edge cache</t>
  </si>
  <si>
    <t xml:space="preserve">Shielding enabled (1=Yes)</t>
  </si>
  <si>
    <t xml:space="preserve">1 / 0</t>
  </si>
  <si>
    <t xml:space="preserve">Doubles IO request count when enabled</t>
  </si>
  <si>
    <t xml:space="preserve">AVIF encoding (1=Yes)</t>
  </si>
  <si>
    <t xml:space="preserve">Premium feature — adds surcharge per request</t>
  </si>
  <si>
    <t xml:space="preserve">Avg. bandwidth rate</t>
  </si>
  <si>
    <t xml:space="preserve">$/GB</t>
  </si>
  <si>
    <t xml:space="preserve">Fastly bandwidth — $0.12 (NA/EU), up to $0.28 (APAC)</t>
  </si>
  <si>
    <t xml:space="preserve">Compression ratio</t>
  </si>
  <si>
    <t xml:space="preserve">ratio</t>
  </si>
  <si>
    <t xml:space="preserve">Optimised image size as fraction of original (default 35%)</t>
  </si>
  <si>
    <t xml:space="preserve">Shield inter-POP rate</t>
  </si>
  <si>
    <t xml:space="preserve">Fastly inter-POP bandwidth charge</t>
  </si>
  <si>
    <t xml:space="preserve">AVIF premium per request</t>
  </si>
  <si>
    <t xml:space="preserve">$/request</t>
  </si>
  <si>
    <t xml:space="preserve">Additional charge when AVIF encoding selected</t>
  </si>
  <si>
    <t xml:space="preserve">CALCULATED METRICS</t>
  </si>
  <si>
    <t xml:space="preserve">Metric</t>
  </si>
  <si>
    <t xml:space="preserve">Value</t>
  </si>
  <si>
    <t xml:space="preserve">Formula note</t>
  </si>
  <si>
    <t xml:space="preserve">Total image requests/month</t>
  </si>
  <si>
    <t xml:space="preserve">Page views × images per page</t>
  </si>
  <si>
    <t xml:space="preserve">Unique variants (breakpoints)</t>
  </si>
  <si>
    <t xml:space="preserve">× device breakpoints</t>
  </si>
  <si>
    <t xml:space="preserve">Billable IO requests</t>
  </si>
  <si>
    <t xml:space="preserve">×2 when shielding enabled</t>
  </si>
  <si>
    <t xml:space="preserve">Optimised image size (KB)</t>
  </si>
  <si>
    <t xml:space="preserve">Original × compression ratio</t>
  </si>
  <si>
    <t xml:space="preserve">Bandwidth delivered (GB)</t>
  </si>
  <si>
    <t xml:space="preserve">Total GB served (optimised)</t>
  </si>
  <si>
    <t xml:space="preserve">Original bandwidth (GB)</t>
  </si>
  <si>
    <t xml:space="preserve">Without optimisation</t>
  </si>
  <si>
    <t xml:space="preserve">Bandwidth saved (GB)</t>
  </si>
  <si>
    <t xml:space="preserve">Reduction from compression</t>
  </si>
  <si>
    <t xml:space="preserve">MONTHLY COST BREAKDOWN</t>
  </si>
  <si>
    <t xml:space="preserve">Cost Line</t>
  </si>
  <si>
    <t xml:space="preserve">Amount ($)</t>
  </si>
  <si>
    <t xml:space="preserve">% of Total</t>
  </si>
  <si>
    <t xml:space="preserve">IO request fee</t>
  </si>
  <si>
    <t xml:space="preserve">IO requests × $0.0025 per request</t>
  </si>
  <si>
    <t xml:space="preserve">Bandwidth (optimised)</t>
  </si>
  <si>
    <t xml:space="preserve">Delivered GB × bandwidth rate</t>
  </si>
  <si>
    <t xml:space="preserve">Shield inter-POP bandwidth</t>
  </si>
  <si>
    <t xml:space="preserve">Miss traffic to shield POP; 0 if shielding off</t>
  </si>
  <si>
    <t xml:space="preserve">AVIF premium</t>
  </si>
  <si>
    <t xml:space="preserve">0 if AVIF disabled</t>
  </si>
  <si>
    <t xml:space="preserve">TOTAL ESTIMATED MONTHLY COST</t>
  </si>
  <si>
    <t xml:space="preserve">Minimum $50/month on pay-as-you-go tier</t>
  </si>
  <si>
    <t xml:space="preserve">SAVINGS VS UNOPTIMISED DELIVERY</t>
  </si>
  <si>
    <t xml:space="preserve">Bandwidth without optimisation ($)</t>
  </si>
  <si>
    <t xml:space="preserve">Bandwidth with optimisation ($)</t>
  </si>
  <si>
    <t xml:space="preserve">Bandwidth saving ($)</t>
  </si>
  <si>
    <t xml:space="preserve">Bandwidth saving (%)</t>
  </si>
  <si>
    <t xml:space="preserve">⚠  Billing note: IO requests are charged on EVERY request (cache HIT and MISS). With shielding enabled requests may be counted twice.</t>
  </si>
  <si>
    <t xml:space="preserve">Fastly Image Optimizer — Scenario Comparison</t>
  </si>
  <si>
    <t xml:space="preserve">Scenario</t>
  </si>
  <si>
    <t xml:space="preserve">Page Views/mo</t>
  </si>
  <si>
    <t xml:space="preserve">Images/page</t>
  </si>
  <si>
    <t xml:space="preserve">Breakpoints</t>
  </si>
  <si>
    <t xml:space="preserve">Orig. Size (KB)</t>
  </si>
  <si>
    <t xml:space="preserve">Cache Hit %</t>
  </si>
  <si>
    <t xml:space="preserve">Shield</t>
  </si>
  <si>
    <t xml:space="preserve">AVIF</t>
  </si>
  <si>
    <t xml:space="preserve">BW Rate ($/GB)</t>
  </si>
  <si>
    <t xml:space="preserve">E-commerce catalogue</t>
  </si>
  <si>
    <t xml:space="preserve">Media / editorial</t>
  </si>
  <si>
    <t xml:space="preserve">SaaS product</t>
  </si>
  <si>
    <t xml:space="preserve">Early-stage startup</t>
  </si>
  <si>
    <t xml:space="preserve">Custom</t>
  </si>
  <si>
    <t xml:space="preserve">CALCULATED COSTS PER SCENARIO</t>
  </si>
  <si>
    <t xml:space="preserve">IO Requests</t>
  </si>
  <si>
    <t xml:space="preserve">IO Cost ($)</t>
  </si>
  <si>
    <t xml:space="preserve">BW Cost ($)</t>
  </si>
  <si>
    <t xml:space="preserve">Shield BW ($)</t>
  </si>
  <si>
    <t xml:space="preserve">AVIF ($)</t>
  </si>
  <si>
    <t xml:space="preserve">TOTAL ($)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</si>
</sst>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\$#,##0.000"/>
    <numFmt numFmtId="168" formatCode="0.00"/>
    <numFmt numFmtId="169" formatCode="#,##0.0"/>
    <numFmt numFmtId="170" formatCode="\$#,##0.00"/>
    <numFmt numFmtId="171" formatCode="0.0%"/>
    <numFmt numFmtId="172" formatCode="@"/>
    <numFmt numFmtId="173" formatCode="\$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7F3F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5F9FE"/>
        <bgColor rgb="FFF9F9F9"/>
      </patternFill>
    </fill>
    <fill>
      <patternFill patternType="solid">
        <fgColor rgb="FFEBF3FB"/>
        <bgColor rgb="FFF5F9FE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1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3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11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5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5F9FE"/>
      <rgbColor rgb="FFF9F9F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F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Monthly Cost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Comparison'!G12</c:f>
              <c:strCache>
                <c:ptCount val="1"/>
                <c:pt idx="0">
                  <c:v>TOTAL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Comparison'!$A$13:$A$17</c:f>
              <c:strCache>
                <c:ptCount val="5"/>
                <c:pt idx="0">
                  <c:v>E-commerce catalogue</c:v>
                </c:pt>
                <c:pt idx="1">
                  <c:v>Media / editorial</c:v>
                </c:pt>
                <c:pt idx="2">
                  <c:v>SaaS product</c:v>
                </c:pt>
                <c:pt idx="3">
                  <c:v>Early-stage startup</c:v>
                </c:pt>
                <c:pt idx="4">
                  <c:v>Custom</c:v>
                </c:pt>
              </c:strCache>
            </c:strRef>
          </c:cat>
          <c:val>
            <c:numRef>
              <c:f>'Scenario Comparison'!$G$13:$G$17</c:f>
              <c:numCache>
                <c:formatCode>\$#,##0.00</c:formatCode>
                <c:ptCount val="5"/>
                <c:pt idx="0">
                  <c:v>2019610.59570313</c:v>
                </c:pt>
                <c:pt idx="1">
                  <c:v>1205940.85693359</c:v>
                </c:pt>
                <c:pt idx="2">
                  <c:v>39697.5723266602</c:v>
                </c:pt>
                <c:pt idx="3">
                  <c:v>5024.03259277344</c:v>
                </c:pt>
                <c:pt idx="4">
                  <c:v>362364.807128906</c:v>
                </c:pt>
              </c:numCache>
            </c:numRef>
          </c:val>
        </c:ser>
        <c:gapWidth val="150"/>
        <c:overlap val="0"/>
        <c:axId val="46657722"/>
        <c:axId val="76036454"/>
      </c:barChart>
      <c:catAx>
        <c:axId val="466577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36454"/>
        <c:crosses val="autoZero"/>
        <c:auto val="1"/>
        <c:lblAlgn val="ctr"/>
        <c:lblOffset val="100"/>
        <c:noMultiLvlLbl val="0"/>
      </c:catAx>
      <c:valAx>
        <c:axId val="76036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577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5</xdr:col>
      <xdr:colOff>432720</xdr:colOff>
      <xdr:row>41</xdr:row>
      <xdr:rowOff>128160</xdr:rowOff>
    </xdr:to>
    <xdr:graphicFrame>
      <xdr:nvGraphicFramePr>
        <xdr:cNvPr id="0" name="Chart 1"/>
        <xdr:cNvGraphicFramePr/>
      </xdr:nvGraphicFramePr>
      <xdr:xfrm>
        <a:off x="0" y="3886200"/>
        <a:ext cx="81136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38.63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/>
      <c r="E5" s="5"/>
      <c r="F5" s="5" t="s">
        <v>6</v>
      </c>
    </row>
    <row r="6" customFormat="false" ht="15" hidden="false" customHeight="false" outlineLevel="0" collapsed="false">
      <c r="A6" s="6" t="s">
        <v>7</v>
      </c>
      <c r="B6" s="7" t="n">
        <v>2000000</v>
      </c>
      <c r="C6" s="6" t="s">
        <v>8</v>
      </c>
      <c r="D6" s="8"/>
      <c r="E6" s="8"/>
      <c r="F6" s="9" t="s">
        <v>9</v>
      </c>
    </row>
    <row r="7" customFormat="false" ht="15" hidden="false" customHeight="false" outlineLevel="0" collapsed="false">
      <c r="A7" s="10" t="s">
        <v>10</v>
      </c>
      <c r="B7" s="11" t="n">
        <v>12</v>
      </c>
      <c r="C7" s="10" t="s">
        <v>11</v>
      </c>
      <c r="D7" s="12"/>
      <c r="E7" s="12"/>
      <c r="F7" s="13" t="s">
        <v>12</v>
      </c>
    </row>
    <row r="8" customFormat="false" ht="15" hidden="false" customHeight="false" outlineLevel="0" collapsed="false">
      <c r="A8" s="6" t="s">
        <v>13</v>
      </c>
      <c r="B8" s="11" t="n">
        <v>3</v>
      </c>
      <c r="C8" s="6" t="s">
        <v>14</v>
      </c>
      <c r="D8" s="8"/>
      <c r="E8" s="8"/>
      <c r="F8" s="9" t="s">
        <v>15</v>
      </c>
    </row>
    <row r="9" customFormat="false" ht="15" hidden="false" customHeight="false" outlineLevel="0" collapsed="false">
      <c r="A9" s="10" t="s">
        <v>16</v>
      </c>
      <c r="B9" s="11" t="n">
        <v>800</v>
      </c>
      <c r="C9" s="10" t="s">
        <v>17</v>
      </c>
      <c r="D9" s="12"/>
      <c r="E9" s="12"/>
      <c r="F9" s="13" t="s">
        <v>18</v>
      </c>
    </row>
    <row r="10" customFormat="false" ht="15" hidden="false" customHeight="false" outlineLevel="0" collapsed="false">
      <c r="A10" s="6" t="s">
        <v>19</v>
      </c>
      <c r="B10" s="14" t="n">
        <v>0.75</v>
      </c>
      <c r="C10" s="6" t="s">
        <v>20</v>
      </c>
      <c r="D10" s="8"/>
      <c r="E10" s="8"/>
      <c r="F10" s="9" t="s">
        <v>21</v>
      </c>
    </row>
    <row r="11" customFormat="false" ht="15" hidden="false" customHeight="false" outlineLevel="0" collapsed="false">
      <c r="A11" s="10" t="s">
        <v>22</v>
      </c>
      <c r="B11" s="11" t="n">
        <v>1</v>
      </c>
      <c r="C11" s="10" t="s">
        <v>23</v>
      </c>
      <c r="D11" s="12"/>
      <c r="E11" s="12"/>
      <c r="F11" s="13" t="s">
        <v>24</v>
      </c>
    </row>
    <row r="12" customFormat="false" ht="15" hidden="false" customHeight="false" outlineLevel="0" collapsed="false">
      <c r="A12" s="6" t="s">
        <v>25</v>
      </c>
      <c r="B12" s="11" t="n">
        <v>0</v>
      </c>
      <c r="C12" s="6" t="s">
        <v>23</v>
      </c>
      <c r="D12" s="8"/>
      <c r="E12" s="8"/>
      <c r="F12" s="9" t="s">
        <v>26</v>
      </c>
    </row>
    <row r="13" customFormat="false" ht="15" hidden="false" customHeight="false" outlineLevel="0" collapsed="false">
      <c r="A13" s="10" t="s">
        <v>27</v>
      </c>
      <c r="B13" s="15" t="n">
        <v>0.12</v>
      </c>
      <c r="C13" s="10" t="s">
        <v>28</v>
      </c>
      <c r="D13" s="12"/>
      <c r="E13" s="12"/>
      <c r="F13" s="13" t="s">
        <v>29</v>
      </c>
    </row>
    <row r="14" customFormat="false" ht="15" hidden="false" customHeight="false" outlineLevel="0" collapsed="false">
      <c r="A14" s="6" t="s">
        <v>30</v>
      </c>
      <c r="B14" s="16" t="n">
        <v>0.35</v>
      </c>
      <c r="C14" s="6" t="s">
        <v>31</v>
      </c>
      <c r="D14" s="8"/>
      <c r="E14" s="8"/>
      <c r="F14" s="9" t="s">
        <v>32</v>
      </c>
    </row>
    <row r="15" customFormat="false" ht="15" hidden="false" customHeight="false" outlineLevel="0" collapsed="false">
      <c r="A15" s="10" t="s">
        <v>33</v>
      </c>
      <c r="B15" s="15" t="n">
        <v>0.012</v>
      </c>
      <c r="C15" s="10" t="s">
        <v>28</v>
      </c>
      <c r="D15" s="12"/>
      <c r="E15" s="12"/>
      <c r="F15" s="13" t="s">
        <v>34</v>
      </c>
    </row>
    <row r="16" customFormat="false" ht="15" hidden="false" customHeight="false" outlineLevel="0" collapsed="false">
      <c r="A16" s="6" t="s">
        <v>35</v>
      </c>
      <c r="B16" s="15" t="n">
        <v>0.0008</v>
      </c>
      <c r="C16" s="6" t="s">
        <v>36</v>
      </c>
      <c r="D16" s="8"/>
      <c r="E16" s="8"/>
      <c r="F16" s="9" t="s">
        <v>37</v>
      </c>
    </row>
    <row r="18" customFormat="false" ht="15" hidden="false" customHeight="false" outlineLevel="0" collapsed="false">
      <c r="A18" s="4" t="s">
        <v>38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5" t="s">
        <v>39</v>
      </c>
      <c r="B19" s="5" t="s">
        <v>40</v>
      </c>
      <c r="C19" s="5" t="s">
        <v>5</v>
      </c>
      <c r="D19" s="5"/>
      <c r="E19" s="5"/>
      <c r="F19" s="5" t="s">
        <v>41</v>
      </c>
    </row>
    <row r="20" customFormat="false" ht="15" hidden="false" customHeight="false" outlineLevel="0" collapsed="false">
      <c r="A20" s="6" t="s">
        <v>42</v>
      </c>
      <c r="B20" s="17" t="n">
        <f aca="false">B6*B7</f>
        <v>24000000</v>
      </c>
      <c r="C20" s="8"/>
      <c r="D20" s="8"/>
      <c r="E20" s="8"/>
      <c r="F20" s="9" t="s">
        <v>43</v>
      </c>
    </row>
    <row r="21" customFormat="false" ht="15" hidden="false" customHeight="false" outlineLevel="0" collapsed="false">
      <c r="A21" s="10" t="s">
        <v>44</v>
      </c>
      <c r="B21" s="18" t="n">
        <f aca="false">B6*B7*B8</f>
        <v>72000000</v>
      </c>
      <c r="C21" s="12"/>
      <c r="D21" s="12"/>
      <c r="E21" s="12"/>
      <c r="F21" s="13" t="s">
        <v>45</v>
      </c>
    </row>
    <row r="22" customFormat="false" ht="15" hidden="false" customHeight="false" outlineLevel="0" collapsed="false">
      <c r="A22" s="6" t="s">
        <v>46</v>
      </c>
      <c r="B22" s="17" t="n">
        <f aca="false">B6*B7*B8*(1+B11)</f>
        <v>144000000</v>
      </c>
      <c r="C22" s="8"/>
      <c r="D22" s="8"/>
      <c r="E22" s="8"/>
      <c r="F22" s="9" t="s">
        <v>47</v>
      </c>
    </row>
    <row r="23" customFormat="false" ht="15" hidden="false" customHeight="false" outlineLevel="0" collapsed="false">
      <c r="A23" s="10" t="s">
        <v>48</v>
      </c>
      <c r="B23" s="19" t="n">
        <f aca="false">B9*B14</f>
        <v>280</v>
      </c>
      <c r="C23" s="12"/>
      <c r="D23" s="12"/>
      <c r="E23" s="12"/>
      <c r="F23" s="13" t="s">
        <v>49</v>
      </c>
    </row>
    <row r="24" customFormat="false" ht="15" hidden="false" customHeight="false" outlineLevel="0" collapsed="false">
      <c r="A24" s="6" t="s">
        <v>50</v>
      </c>
      <c r="B24" s="20" t="n">
        <f aca="false">B6*B7*B8*(B9*B14)/(1024*1024)</f>
        <v>19226.07421875</v>
      </c>
      <c r="C24" s="8"/>
      <c r="D24" s="8"/>
      <c r="E24" s="8"/>
      <c r="F24" s="9" t="s">
        <v>51</v>
      </c>
    </row>
    <row r="25" customFormat="false" ht="15" hidden="false" customHeight="false" outlineLevel="0" collapsed="false">
      <c r="A25" s="10" t="s">
        <v>52</v>
      </c>
      <c r="B25" s="19" t="n">
        <f aca="false">B6*B7*B8*B9/(1024*1024)</f>
        <v>54931.640625</v>
      </c>
      <c r="C25" s="12"/>
      <c r="D25" s="12"/>
      <c r="E25" s="12"/>
      <c r="F25" s="13" t="s">
        <v>53</v>
      </c>
    </row>
    <row r="26" customFormat="false" ht="15" hidden="false" customHeight="false" outlineLevel="0" collapsed="false">
      <c r="A26" s="6" t="s">
        <v>54</v>
      </c>
      <c r="B26" s="20" t="n">
        <f aca="false">B6*B7*B8*(B9-B9*B14)/(1024*1024)</f>
        <v>35705.56640625</v>
      </c>
      <c r="C26" s="8"/>
      <c r="D26" s="8"/>
      <c r="E26" s="8"/>
      <c r="F26" s="9" t="s">
        <v>55</v>
      </c>
    </row>
    <row r="28" customFormat="false" ht="15" hidden="false" customHeight="false" outlineLevel="0" collapsed="false">
      <c r="A28" s="4" t="s">
        <v>56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5" t="s">
        <v>57</v>
      </c>
      <c r="B29" s="5" t="s">
        <v>58</v>
      </c>
      <c r="C29" s="5" t="s">
        <v>59</v>
      </c>
      <c r="D29" s="5"/>
      <c r="E29" s="5"/>
      <c r="F29" s="5" t="s">
        <v>6</v>
      </c>
    </row>
    <row r="30" customFormat="false" ht="15" hidden="false" customHeight="false" outlineLevel="0" collapsed="false">
      <c r="A30" s="6" t="s">
        <v>60</v>
      </c>
      <c r="B30" s="21" t="n">
        <f aca="false">B22*0.0025</f>
        <v>360000</v>
      </c>
      <c r="C30" s="22" t="n">
        <f aca="false">IFERROR(B30/B34,0)</f>
        <v>0.993315852494051</v>
      </c>
      <c r="D30" s="8"/>
      <c r="E30" s="8"/>
      <c r="F30" s="9" t="s">
        <v>61</v>
      </c>
    </row>
    <row r="31" customFormat="false" ht="15" hidden="false" customHeight="false" outlineLevel="0" collapsed="false">
      <c r="A31" s="10" t="s">
        <v>62</v>
      </c>
      <c r="B31" s="23" t="n">
        <f aca="false">B24*B13</f>
        <v>2307.12890625</v>
      </c>
      <c r="C31" s="24" t="n">
        <f aca="false">IFERROR(B31/B34,0)</f>
        <v>0.00636585476757052</v>
      </c>
      <c r="D31" s="12"/>
      <c r="E31" s="12"/>
      <c r="F31" s="13" t="s">
        <v>63</v>
      </c>
    </row>
    <row r="32" customFormat="false" ht="15" hidden="false" customHeight="false" outlineLevel="0" collapsed="false">
      <c r="A32" s="6" t="s">
        <v>64</v>
      </c>
      <c r="B32" s="21" t="n">
        <f aca="false">IF(B11=1,B22*(1-B10)*B9*B14/(1024*1024)*B15,0)</f>
        <v>115.3564453125</v>
      </c>
      <c r="C32" s="22" t="n">
        <f aca="false">IFERROR(B32/B34,0)</f>
        <v>0.000318292738378526</v>
      </c>
      <c r="D32" s="8"/>
      <c r="E32" s="8"/>
      <c r="F32" s="9" t="s">
        <v>65</v>
      </c>
    </row>
    <row r="33" customFormat="false" ht="15" hidden="false" customHeight="false" outlineLevel="0" collapsed="false">
      <c r="A33" s="10" t="s">
        <v>66</v>
      </c>
      <c r="B33" s="23" t="n">
        <f aca="false">IF(B12=1,B22*B16,0)</f>
        <v>0</v>
      </c>
      <c r="C33" s="24" t="n">
        <f aca="false">IFERROR(B33/B34,0)</f>
        <v>0</v>
      </c>
      <c r="D33" s="12"/>
      <c r="E33" s="12"/>
      <c r="F33" s="13" t="s">
        <v>67</v>
      </c>
    </row>
    <row r="34" customFormat="false" ht="21.75" hidden="false" customHeight="true" outlineLevel="0" collapsed="false">
      <c r="A34" s="25" t="s">
        <v>68</v>
      </c>
      <c r="B34" s="26" t="n">
        <f aca="false">MAX(50,B30+B31+B32+B33)</f>
        <v>362422.485351563</v>
      </c>
      <c r="C34" s="27"/>
      <c r="D34" s="27"/>
      <c r="E34" s="27"/>
      <c r="F34" s="28" t="s">
        <v>69</v>
      </c>
    </row>
    <row r="36" customFormat="false" ht="15" hidden="false" customHeight="false" outlineLevel="0" collapsed="false">
      <c r="A36" s="4" t="s">
        <v>70</v>
      </c>
      <c r="B36" s="4"/>
      <c r="C36" s="4"/>
      <c r="D36" s="4"/>
      <c r="E36" s="4"/>
      <c r="F36" s="4"/>
    </row>
    <row r="37" customFormat="false" ht="15" hidden="false" customHeight="false" outlineLevel="0" collapsed="false">
      <c r="A37" s="29" t="s">
        <v>71</v>
      </c>
      <c r="B37" s="30" t="n">
        <f aca="false">B25*B13</f>
        <v>6591.796875</v>
      </c>
      <c r="C37" s="31"/>
    </row>
    <row r="38" customFormat="false" ht="15" hidden="false" customHeight="false" outlineLevel="0" collapsed="false">
      <c r="A38" s="29" t="s">
        <v>72</v>
      </c>
      <c r="B38" s="30" t="n">
        <f aca="false">B24*B13</f>
        <v>2307.12890625</v>
      </c>
      <c r="C38" s="31"/>
    </row>
    <row r="39" customFormat="false" ht="15" hidden="false" customHeight="false" outlineLevel="0" collapsed="false">
      <c r="A39" s="29" t="s">
        <v>73</v>
      </c>
      <c r="B39" s="30" t="n">
        <f aca="false">B37-B38</f>
        <v>4284.66796875</v>
      </c>
      <c r="C39" s="31"/>
    </row>
    <row r="40" customFormat="false" ht="15" hidden="false" customHeight="false" outlineLevel="0" collapsed="false">
      <c r="A40" s="32" t="s">
        <v>74</v>
      </c>
      <c r="B40" s="33" t="n">
        <f aca="false">IFERROR((B37-B38)/B37,0)</f>
        <v>0.65</v>
      </c>
    </row>
    <row r="42" customFormat="false" ht="27.75" hidden="false" customHeight="true" outlineLevel="0" collapsed="false">
      <c r="A42" s="34" t="s">
        <v>75</v>
      </c>
      <c r="B42" s="34"/>
      <c r="C42" s="34"/>
      <c r="D42" s="34"/>
      <c r="E42" s="34"/>
      <c r="F42" s="34"/>
    </row>
  </sheetData>
  <mergeCells count="8">
    <mergeCell ref="A1:F1"/>
    <mergeCell ref="A2:F2"/>
    <mergeCell ref="A4:F4"/>
    <mergeCell ref="A18:F18"/>
    <mergeCell ref="A28:F28"/>
    <mergeCell ref="C34:E34"/>
    <mergeCell ref="A36:F36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6"/>
    <col collapsed="false" customWidth="true" hidden="false" outlineLevel="0" max="7" min="7" style="1" width="24"/>
  </cols>
  <sheetData>
    <row r="1" customFormat="false" ht="36" hidden="false" customHeight="true" outlineLevel="0" collapsed="false">
      <c r="A1" s="2" t="s">
        <v>76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83</v>
      </c>
      <c r="H3" s="5" t="s">
        <v>84</v>
      </c>
      <c r="I3" s="5" t="s">
        <v>85</v>
      </c>
    </row>
    <row r="4" customFormat="false" ht="15" hidden="false" customHeight="false" outlineLevel="0" collapsed="false">
      <c r="A4" s="35" t="s">
        <v>86</v>
      </c>
      <c r="B4" s="36" t="n">
        <v>5000000</v>
      </c>
      <c r="C4" s="36" t="n">
        <v>20</v>
      </c>
      <c r="D4" s="36" t="n">
        <v>4</v>
      </c>
      <c r="E4" s="36" t="n">
        <v>1200</v>
      </c>
      <c r="F4" s="37" t="n">
        <v>0.8</v>
      </c>
      <c r="G4" s="36" t="n">
        <v>1</v>
      </c>
      <c r="H4" s="36" t="n">
        <v>0</v>
      </c>
      <c r="I4" s="38" t="n">
        <v>0.12</v>
      </c>
    </row>
    <row r="5" customFormat="false" ht="15" hidden="false" customHeight="false" outlineLevel="0" collapsed="false">
      <c r="A5" s="39" t="s">
        <v>87</v>
      </c>
      <c r="B5" s="40" t="n">
        <v>10000000</v>
      </c>
      <c r="C5" s="40" t="n">
        <v>8</v>
      </c>
      <c r="D5" s="40" t="n">
        <v>3</v>
      </c>
      <c r="E5" s="40" t="n">
        <v>600</v>
      </c>
      <c r="F5" s="41" t="n">
        <v>0.7</v>
      </c>
      <c r="G5" s="40" t="n">
        <v>1</v>
      </c>
      <c r="H5" s="40" t="n">
        <v>0</v>
      </c>
      <c r="I5" s="42" t="n">
        <v>0.12</v>
      </c>
    </row>
    <row r="6" customFormat="false" ht="15" hidden="false" customHeight="false" outlineLevel="0" collapsed="false">
      <c r="A6" s="35" t="s">
        <v>88</v>
      </c>
      <c r="B6" s="36" t="n">
        <v>500000</v>
      </c>
      <c r="C6" s="36" t="n">
        <v>6</v>
      </c>
      <c r="D6" s="36" t="n">
        <v>2</v>
      </c>
      <c r="E6" s="36" t="n">
        <v>400</v>
      </c>
      <c r="F6" s="37" t="n">
        <v>0.85</v>
      </c>
      <c r="G6" s="36" t="n">
        <v>1</v>
      </c>
      <c r="H6" s="36" t="n">
        <v>1</v>
      </c>
      <c r="I6" s="38" t="n">
        <v>0.12</v>
      </c>
    </row>
    <row r="7" customFormat="false" ht="15" hidden="false" customHeight="false" outlineLevel="0" collapsed="false">
      <c r="A7" s="39" t="s">
        <v>89</v>
      </c>
      <c r="B7" s="40" t="n">
        <v>200000</v>
      </c>
      <c r="C7" s="40" t="n">
        <v>5</v>
      </c>
      <c r="D7" s="40" t="n">
        <v>2</v>
      </c>
      <c r="E7" s="40" t="n">
        <v>300</v>
      </c>
      <c r="F7" s="41" t="n">
        <v>0.6</v>
      </c>
      <c r="G7" s="40" t="n">
        <v>0</v>
      </c>
      <c r="H7" s="40" t="n">
        <v>0</v>
      </c>
      <c r="I7" s="42" t="n">
        <v>0.12</v>
      </c>
    </row>
    <row r="8" customFormat="false" ht="15" hidden="false" customHeight="false" outlineLevel="0" collapsed="false">
      <c r="A8" s="35" t="s">
        <v>90</v>
      </c>
      <c r="B8" s="36" t="n">
        <v>2000000</v>
      </c>
      <c r="C8" s="36" t="n">
        <v>12</v>
      </c>
      <c r="D8" s="36" t="n">
        <v>3</v>
      </c>
      <c r="E8" s="36" t="n">
        <v>800</v>
      </c>
      <c r="F8" s="37" t="n">
        <v>0.75</v>
      </c>
      <c r="G8" s="36" t="n">
        <v>1</v>
      </c>
      <c r="H8" s="36" t="n">
        <v>0</v>
      </c>
      <c r="I8" s="38" t="n">
        <v>0.12</v>
      </c>
    </row>
    <row r="11" customFormat="false" ht="15" hidden="false" customHeight="false" outlineLevel="0" collapsed="false">
      <c r="A11" s="4" t="s">
        <v>91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5" t="s">
        <v>77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96</v>
      </c>
      <c r="G12" s="5" t="s">
        <v>97</v>
      </c>
    </row>
    <row r="13" customFormat="false" ht="15" hidden="false" customHeight="false" outlineLevel="0" collapsed="false">
      <c r="A13" s="35" t="s">
        <v>86</v>
      </c>
      <c r="B13" s="17" t="n">
        <v>800000000</v>
      </c>
      <c r="C13" s="21" t="n">
        <v>2000000</v>
      </c>
      <c r="D13" s="21" t="n">
        <v>19226.07421875</v>
      </c>
      <c r="E13" s="21" t="n">
        <v>384.521484375</v>
      </c>
      <c r="F13" s="21" t="n">
        <v>0</v>
      </c>
      <c r="G13" s="43" t="n">
        <v>2019610.59570313</v>
      </c>
    </row>
    <row r="14" customFormat="false" ht="15" hidden="false" customHeight="false" outlineLevel="0" collapsed="false">
      <c r="A14" s="39" t="s">
        <v>87</v>
      </c>
      <c r="B14" s="18" t="n">
        <v>480000000</v>
      </c>
      <c r="C14" s="23" t="n">
        <v>1200000</v>
      </c>
      <c r="D14" s="23" t="n">
        <v>5767.822265625</v>
      </c>
      <c r="E14" s="23" t="n">
        <v>173.03466796875</v>
      </c>
      <c r="F14" s="23" t="n">
        <v>0</v>
      </c>
      <c r="G14" s="44" t="n">
        <v>1205940.85693359</v>
      </c>
    </row>
    <row r="15" customFormat="false" ht="15" hidden="false" customHeight="false" outlineLevel="0" collapsed="false">
      <c r="A15" s="35" t="s">
        <v>88</v>
      </c>
      <c r="B15" s="17" t="n">
        <v>12000000</v>
      </c>
      <c r="C15" s="21" t="n">
        <v>30000</v>
      </c>
      <c r="D15" s="21" t="n">
        <v>96.13037109375</v>
      </c>
      <c r="E15" s="21" t="n">
        <v>1.44195556640625</v>
      </c>
      <c r="F15" s="21" t="n">
        <v>9600</v>
      </c>
      <c r="G15" s="43" t="n">
        <v>39697.5723266602</v>
      </c>
    </row>
    <row r="16" customFormat="false" ht="15" hidden="false" customHeight="false" outlineLevel="0" collapsed="false">
      <c r="A16" s="39" t="s">
        <v>89</v>
      </c>
      <c r="B16" s="18" t="n">
        <v>2000000</v>
      </c>
      <c r="C16" s="23" t="n">
        <v>5000</v>
      </c>
      <c r="D16" s="23" t="n">
        <v>24.0325927734375</v>
      </c>
      <c r="E16" s="23" t="n">
        <v>0</v>
      </c>
      <c r="F16" s="23" t="n">
        <v>0</v>
      </c>
      <c r="G16" s="44" t="n">
        <v>5024.03259277344</v>
      </c>
    </row>
    <row r="17" customFormat="false" ht="15" hidden="false" customHeight="false" outlineLevel="0" collapsed="false">
      <c r="A17" s="35" t="s">
        <v>90</v>
      </c>
      <c r="B17" s="17" t="n">
        <v>144000000</v>
      </c>
      <c r="C17" s="21" t="n">
        <v>360000</v>
      </c>
      <c r="D17" s="21" t="n">
        <v>2307.12890625</v>
      </c>
      <c r="E17" s="21" t="n">
        <v>57.67822265625</v>
      </c>
      <c r="F17" s="21" t="n">
        <v>0</v>
      </c>
      <c r="G17" s="43" t="n">
        <v>362364.807128906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2026-06-07T15:03:33Z</dcterms:created>
  <dc:creator>openpyxl</dc:creator>
  <dc:description/>
  <dc:language>en-US</dc:language>
  <cp:lastModifiedBy/>
  <dcterms:modified xsi:type="dcterms:W3CDTF">2026-06-07T18:08:40Z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